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3 Stars Laptop\Downloads\"/>
    </mc:Choice>
  </mc:AlternateContent>
  <bookViews>
    <workbookView xWindow="0" yWindow="0" windowWidth="23040" windowHeight="9072"/>
  </bookViews>
  <sheets>
    <sheet name="Inputs_Results" sheetId="2" r:id="rId1"/>
    <sheet name="Cash Flow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B34" i="2"/>
  <c r="B24" i="2"/>
  <c r="B30" i="2"/>
  <c r="B25" i="2"/>
  <c r="I5" i="2"/>
  <c r="H43" i="3" l="1"/>
  <c r="H39" i="3" s="1"/>
  <c r="H42" i="3"/>
  <c r="B34" i="3"/>
  <c r="E34" i="3" s="1"/>
  <c r="B33" i="3"/>
  <c r="E33" i="3" s="1"/>
  <c r="B32" i="3"/>
  <c r="E32" i="3" s="1"/>
  <c r="B31" i="3"/>
  <c r="E31" i="3" s="1"/>
  <c r="B30" i="3"/>
  <c r="D30" i="3" s="1"/>
  <c r="B29" i="3"/>
  <c r="E29" i="3" s="1"/>
  <c r="B28" i="3"/>
  <c r="D28" i="3" s="1"/>
  <c r="B27" i="3"/>
  <c r="C27" i="3" s="1"/>
  <c r="B26" i="3"/>
  <c r="C26" i="3" s="1"/>
  <c r="B25" i="3"/>
  <c r="E25" i="3" s="1"/>
  <c r="B24" i="3"/>
  <c r="D24" i="3" s="1"/>
  <c r="B23" i="3"/>
  <c r="C23" i="3" s="1"/>
  <c r="B22" i="3"/>
  <c r="C22" i="3" s="1"/>
  <c r="B21" i="3"/>
  <c r="E21" i="3" s="1"/>
  <c r="B20" i="3"/>
  <c r="E20" i="3" s="1"/>
  <c r="B19" i="3"/>
  <c r="D19" i="3" s="1"/>
  <c r="B18" i="3"/>
  <c r="E18" i="3" s="1"/>
  <c r="B17" i="3"/>
  <c r="D17" i="3" s="1"/>
  <c r="B16" i="3"/>
  <c r="C16" i="3" s="1"/>
  <c r="B15" i="3"/>
  <c r="E15" i="3" s="1"/>
  <c r="B14" i="3"/>
  <c r="C14" i="3" s="1"/>
  <c r="B13" i="3"/>
  <c r="C13" i="3" s="1"/>
  <c r="B12" i="3"/>
  <c r="C12" i="3" s="1"/>
  <c r="B11" i="3"/>
  <c r="E11" i="3" s="1"/>
  <c r="B10" i="3"/>
  <c r="C10" i="3" s="1"/>
  <c r="B9" i="3"/>
  <c r="E9" i="3" s="1"/>
  <c r="B8" i="3"/>
  <c r="D8" i="3" s="1"/>
  <c r="B4" i="3"/>
  <c r="B26" i="2"/>
  <c r="F5" i="2"/>
  <c r="B14" i="2" s="1"/>
  <c r="F4" i="2"/>
  <c r="F6" i="2" l="1"/>
  <c r="D14" i="3"/>
  <c r="E14" i="3"/>
  <c r="E30" i="3"/>
  <c r="E19" i="3"/>
  <c r="E8" i="3"/>
  <c r="C25" i="3"/>
  <c r="D25" i="3"/>
  <c r="D31" i="3"/>
  <c r="D26" i="3"/>
  <c r="E26" i="3"/>
  <c r="D32" i="3"/>
  <c r="E28" i="3"/>
  <c r="C34" i="3"/>
  <c r="C31" i="3"/>
  <c r="D9" i="3"/>
  <c r="C4" i="3"/>
  <c r="D4" i="3" s="1"/>
  <c r="C21" i="3"/>
  <c r="D27" i="3"/>
  <c r="D22" i="3"/>
  <c r="C17" i="3"/>
  <c r="D34" i="3"/>
  <c r="E4" i="3"/>
  <c r="C32" i="3"/>
  <c r="D10" i="3"/>
  <c r="D21" i="3"/>
  <c r="E10" i="3"/>
  <c r="D16" i="3"/>
  <c r="C11" i="3"/>
  <c r="E16" i="3"/>
  <c r="E27" i="3"/>
  <c r="E17" i="3"/>
  <c r="C15" i="3"/>
  <c r="C33" i="3"/>
  <c r="C28" i="3"/>
  <c r="D23" i="3"/>
  <c r="E12" i="3"/>
  <c r="E23" i="3"/>
  <c r="D29" i="3"/>
  <c r="D20" i="3"/>
  <c r="D15" i="3"/>
  <c r="E22" i="3"/>
  <c r="D12" i="3"/>
  <c r="C18" i="3"/>
  <c r="D13" i="3"/>
  <c r="E13" i="3"/>
  <c r="E24" i="3"/>
  <c r="C30" i="3"/>
  <c r="C9" i="3"/>
  <c r="C20" i="3"/>
  <c r="D11" i="3"/>
  <c r="D33" i="3"/>
  <c r="C29" i="3"/>
  <c r="D18" i="3"/>
  <c r="C24" i="3"/>
  <c r="C8" i="3"/>
  <c r="C19" i="3"/>
  <c r="B27" i="2"/>
  <c r="I6" i="2"/>
  <c r="B13" i="2"/>
  <c r="B15" i="2"/>
  <c r="B16" i="2" s="1"/>
  <c r="B6" i="3" s="1"/>
  <c r="C6" i="3" s="1"/>
  <c r="D6" i="3" l="1"/>
  <c r="B5" i="3"/>
  <c r="B28" i="2"/>
  <c r="B7" i="3"/>
  <c r="C7" i="3" l="1"/>
  <c r="D7" i="3" s="1"/>
  <c r="H40" i="3"/>
  <c r="E5" i="3"/>
  <c r="E6" i="3" s="1"/>
  <c r="E7" i="3" s="1"/>
  <c r="C5" i="3"/>
  <c r="D5" i="3" s="1"/>
  <c r="H37" i="3"/>
  <c r="H38" i="3"/>
</calcChain>
</file>

<file path=xl/sharedStrings.xml><?xml version="1.0" encoding="utf-8"?>
<sst xmlns="http://schemas.openxmlformats.org/spreadsheetml/2006/main" count="59" uniqueCount="56">
  <si>
    <t>ROI Model: Current State vs Post-Install (Labor &amp; Material Savings → NPV, IRR, Payback)</t>
  </si>
  <si>
    <t>Global Inputs</t>
  </si>
  <si>
    <t>Current State</t>
  </si>
  <si>
    <t>Calculated (Current)</t>
  </si>
  <si>
    <t>Post-Install</t>
  </si>
  <si>
    <t>Calculated (Post)</t>
  </si>
  <si>
    <t>Discount Rate</t>
  </si>
  <si>
    <t>Annual Parts Goal (units)</t>
  </si>
  <si>
    <t>Annual Material Spend</t>
  </si>
  <si>
    <t>Analysis Horizon (years)</t>
  </si>
  <si>
    <t>Machine Uptime (%)</t>
  </si>
  <si>
    <t>Annual Labor Cost</t>
  </si>
  <si>
    <t>New Equipment Cost (Year 0)</t>
  </si>
  <si>
    <t>Scrap Percentage (%)</t>
  </si>
  <si>
    <t>Total Operating Cost</t>
  </si>
  <si>
    <t>Other One-Time Costs (Year 0)</t>
  </si>
  <si>
    <t>Material Cost per Part</t>
  </si>
  <si>
    <t>Annual Maintenance Cost (Post)</t>
  </si>
  <si>
    <t>—</t>
  </si>
  <si>
    <t>Salvage Value (Final Year)</t>
  </si>
  <si>
    <t>Work Shifts</t>
  </si>
  <si>
    <t>Days per Year</t>
  </si>
  <si>
    <t>Hours per Shift</t>
  </si>
  <si>
    <t>Annual Savings Calculation</t>
  </si>
  <si>
    <t>Number of Operators</t>
  </si>
  <si>
    <t>Annual Material Savings</t>
  </si>
  <si>
    <t>Hourly Wage per Operator</t>
  </si>
  <si>
    <t>Annual Labor Savings</t>
  </si>
  <si>
    <t>Overtime Rate per Hour</t>
  </si>
  <si>
    <t>Total Annual Savings (before maintenance)</t>
  </si>
  <si>
    <t>Annual Overtime Hours per Operator</t>
  </si>
  <si>
    <t>Net Annual Savings (after maintenance)</t>
  </si>
  <si>
    <t>Number of Technicians</t>
  </si>
  <si>
    <t>Annual Cost per Technician</t>
  </si>
  <si>
    <t>Productivity Gains (Incremental Throughput)</t>
  </si>
  <si>
    <t>Good Units (Current) = Parts * Uptime * (1 - Scrap)</t>
  </si>
  <si>
    <t>Good Units (Post) = Parts * Uptime * (1 - Scrap)</t>
  </si>
  <si>
    <t>Incremental Good Units (Post − Current)</t>
  </si>
  <si>
    <t>Contribution per Additional Unit (auto)</t>
  </si>
  <si>
    <t>Steady-State Annual Productivity Profit (Year 3+)</t>
  </si>
  <si>
    <t>Margin % of Material Unit Cost</t>
  </si>
  <si>
    <t>Variable Cost per Unit (auto from materials or method)</t>
  </si>
  <si>
    <t>Selling Price per Component (auto)</t>
  </si>
  <si>
    <t>Cash Flow Schedule</t>
  </si>
  <si>
    <t>Year</t>
  </si>
  <si>
    <t>Cash Flow</t>
  </si>
  <si>
    <t>Discount Factor</t>
  </si>
  <si>
    <t>Present Value</t>
  </si>
  <si>
    <t>Cumulative Cash Flow</t>
  </si>
  <si>
    <t>Results</t>
  </si>
  <si>
    <t>NPV</t>
  </si>
  <si>
    <t>IRR</t>
  </si>
  <si>
    <t>Payback (years)</t>
  </si>
  <si>
    <t>Simple ROI (%)</t>
  </si>
  <si>
    <t>Helper: k index</t>
  </si>
  <si>
    <t>Helper: Payback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</si>
</sst>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DE7"/>
      </patternFill>
    </fill>
    <fill>
      <patternFill patternType="solid">
        <fgColor rgb="FFE6F2FF"/>
      </patternFill>
    </fill>
    <fill>
      <patternFill patternType="solid">
        <fgColor rgb="FFE6F2FF"/>
      </patternFill>
    </fill>
    <fill>
      <patternFill patternType="solid">
        <fgColor rgb="FFFFFD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1" xfId="0" applyFill="1" applyBorder="1"/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" fontId="0" fillId="0" borderId="0" xfId="0" applyNumberFormat="1"/>
    <xf numFmtId="10" fontId="0" fillId="0" borderId="0" xfId="0" applyNumberFormat="1"/>
    <xf numFmtId="2" fontId="0" fillId="0" borderId="0" xfId="0" applyNumberFormat="1"/>
    <xf numFmtId="0" fontId="3" fillId="4" borderId="0" xfId="0" applyFont="1" applyFill="1"/>
    <xf numFmtId="0" fontId="0" fillId="0" borderId="2" xfId="0" applyBorder="1"/>
    <xf numFmtId="3" fontId="0" fillId="0" borderId="2" xfId="0" applyNumberFormat="1" applyBorder="1"/>
    <xf numFmtId="4" fontId="0" fillId="0" borderId="2" xfId="0" applyNumberFormat="1" applyBorder="1"/>
    <xf numFmtId="0" fontId="4" fillId="0" borderId="2" xfId="0" applyFont="1" applyBorder="1"/>
    <xf numFmtId="10" fontId="0" fillId="5" borderId="2" xfId="0" applyNumberFormat="1" applyFill="1" applyBorder="1"/>
    <xf numFmtId="10" fontId="0" fillId="0" borderId="2" xfId="0" applyNumberForma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G19" sqref="G19"/>
    </sheetView>
  </sheetViews>
  <sheetFormatPr defaultRowHeight="14.4" x14ac:dyDescent="0.3"/>
  <cols>
    <col min="1" max="1" width="46.5546875" bestFit="1" customWidth="1"/>
    <col min="2" max="2" width="18" customWidth="1"/>
    <col min="3" max="3" width="33.44140625" bestFit="1" customWidth="1"/>
    <col min="4" max="4" width="18" customWidth="1"/>
    <col min="5" max="5" width="19.44140625" bestFit="1" customWidth="1"/>
    <col min="6" max="7" width="18" customWidth="1"/>
    <col min="8" max="8" width="21" bestFit="1" customWidth="1"/>
    <col min="9" max="9" width="18" customWidth="1"/>
  </cols>
  <sheetData>
    <row r="1" spans="1:9" ht="18" customHeight="1" x14ac:dyDescent="0.35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3" spans="1:9" x14ac:dyDescent="0.3">
      <c r="A3" s="1" t="s">
        <v>1</v>
      </c>
      <c r="D3" s="1" t="s">
        <v>2</v>
      </c>
      <c r="E3" s="1" t="s">
        <v>3</v>
      </c>
      <c r="G3" s="1" t="s">
        <v>4</v>
      </c>
      <c r="H3" s="1" t="s">
        <v>5</v>
      </c>
    </row>
    <row r="4" spans="1:9" x14ac:dyDescent="0.3">
      <c r="A4" s="2" t="s">
        <v>6</v>
      </c>
      <c r="B4" s="3">
        <v>0.1</v>
      </c>
      <c r="C4" s="2" t="s">
        <v>7</v>
      </c>
      <c r="D4" s="3">
        <v>100000</v>
      </c>
      <c r="E4" s="2" t="s">
        <v>8</v>
      </c>
      <c r="F4" s="4">
        <f>D4*(1+D6)*D7</f>
        <v>1320000.0000000002</v>
      </c>
      <c r="G4" s="3">
        <v>100000</v>
      </c>
      <c r="H4" s="2" t="s">
        <v>8</v>
      </c>
      <c r="I4" s="4">
        <f>G4*(1+G6)*G7</f>
        <v>1224000</v>
      </c>
    </row>
    <row r="5" spans="1:9" x14ac:dyDescent="0.3">
      <c r="A5" s="2" t="s">
        <v>9</v>
      </c>
      <c r="B5" s="3">
        <v>3</v>
      </c>
      <c r="C5" s="2" t="s">
        <v>10</v>
      </c>
      <c r="D5" s="3">
        <v>0.9</v>
      </c>
      <c r="E5" s="2" t="s">
        <v>11</v>
      </c>
      <c r="F5" s="4">
        <f>(D9*D10*D11*D12)*D13 + (D12*D15*D14) + (D16*D17)</f>
        <v>167200</v>
      </c>
      <c r="G5" s="3">
        <v>0.99</v>
      </c>
      <c r="H5" s="2" t="s">
        <v>11</v>
      </c>
      <c r="I5" s="4">
        <f>(G9*G10*G11*G12)*G13 + (G12*G15*G14) + (G16*G17)</f>
        <v>92200</v>
      </c>
    </row>
    <row r="6" spans="1:9" x14ac:dyDescent="0.3">
      <c r="A6" s="2" t="s">
        <v>12</v>
      </c>
      <c r="B6" s="3">
        <v>500000</v>
      </c>
      <c r="C6" s="2" t="s">
        <v>13</v>
      </c>
      <c r="D6" s="3">
        <v>0.1</v>
      </c>
      <c r="E6" s="2" t="s">
        <v>14</v>
      </c>
      <c r="F6" s="4">
        <f>F4+F5</f>
        <v>1487200.0000000002</v>
      </c>
      <c r="G6" s="3">
        <v>0.02</v>
      </c>
      <c r="H6" s="2" t="s">
        <v>14</v>
      </c>
      <c r="I6" s="4">
        <f>I4+I5</f>
        <v>1316200</v>
      </c>
    </row>
    <row r="7" spans="1:9" x14ac:dyDescent="0.3">
      <c r="A7" s="2" t="s">
        <v>15</v>
      </c>
      <c r="B7" s="3">
        <v>0</v>
      </c>
      <c r="C7" s="2" t="s">
        <v>16</v>
      </c>
      <c r="D7" s="3">
        <v>12</v>
      </c>
      <c r="G7" s="3">
        <v>12</v>
      </c>
    </row>
    <row r="8" spans="1:9" x14ac:dyDescent="0.3">
      <c r="A8" s="2" t="s">
        <v>17</v>
      </c>
      <c r="B8" s="3">
        <v>0</v>
      </c>
      <c r="C8" s="5" t="s">
        <v>18</v>
      </c>
      <c r="D8" s="3"/>
      <c r="G8" s="3"/>
    </row>
    <row r="9" spans="1:9" x14ac:dyDescent="0.3">
      <c r="A9" s="2" t="s">
        <v>19</v>
      </c>
      <c r="B9" s="3">
        <v>0</v>
      </c>
      <c r="C9" s="2" t="s">
        <v>20</v>
      </c>
      <c r="D9" s="3">
        <v>1</v>
      </c>
      <c r="G9" s="3">
        <v>1</v>
      </c>
    </row>
    <row r="10" spans="1:9" x14ac:dyDescent="0.3">
      <c r="C10" s="2" t="s">
        <v>21</v>
      </c>
      <c r="D10" s="3">
        <v>250</v>
      </c>
      <c r="G10" s="3">
        <v>250</v>
      </c>
    </row>
    <row r="11" spans="1:9" x14ac:dyDescent="0.3">
      <c r="C11" s="2" t="s">
        <v>22</v>
      </c>
      <c r="D11" s="3">
        <v>8</v>
      </c>
      <c r="G11" s="3">
        <v>8</v>
      </c>
    </row>
    <row r="12" spans="1:9" x14ac:dyDescent="0.3">
      <c r="A12" s="1" t="s">
        <v>23</v>
      </c>
      <c r="C12" s="2" t="s">
        <v>24</v>
      </c>
      <c r="D12" s="3">
        <v>2</v>
      </c>
      <c r="G12" s="3">
        <v>2</v>
      </c>
    </row>
    <row r="13" spans="1:9" x14ac:dyDescent="0.3">
      <c r="A13" s="2" t="s">
        <v>25</v>
      </c>
      <c r="B13" s="4">
        <f>F4-I4</f>
        <v>96000.000000000233</v>
      </c>
      <c r="C13" s="2" t="s">
        <v>26</v>
      </c>
      <c r="D13" s="3">
        <v>22</v>
      </c>
      <c r="G13" s="3">
        <v>22</v>
      </c>
    </row>
    <row r="14" spans="1:9" x14ac:dyDescent="0.3">
      <c r="A14" s="2" t="s">
        <v>27</v>
      </c>
      <c r="B14" s="4">
        <f>F5-I5</f>
        <v>75000</v>
      </c>
      <c r="C14" s="2" t="s">
        <v>28</v>
      </c>
      <c r="D14" s="3">
        <v>35</v>
      </c>
      <c r="G14" s="3">
        <v>35</v>
      </c>
    </row>
    <row r="15" spans="1:9" x14ac:dyDescent="0.3">
      <c r="A15" s="2" t="s">
        <v>29</v>
      </c>
      <c r="B15" s="4">
        <f>B13+B14</f>
        <v>171000.00000000023</v>
      </c>
      <c r="C15" s="2" t="s">
        <v>30</v>
      </c>
      <c r="D15" s="3">
        <v>60</v>
      </c>
      <c r="G15" s="3">
        <v>60</v>
      </c>
    </row>
    <row r="16" spans="1:9" x14ac:dyDescent="0.3">
      <c r="A16" s="2" t="s">
        <v>31</v>
      </c>
      <c r="B16" s="4">
        <f>B15-Inputs_Results!$B$8</f>
        <v>171000.00000000023</v>
      </c>
      <c r="C16" s="2" t="s">
        <v>32</v>
      </c>
      <c r="D16" s="3">
        <v>1</v>
      </c>
      <c r="G16" s="3">
        <v>0</v>
      </c>
    </row>
    <row r="17" spans="1:7" x14ac:dyDescent="0.3">
      <c r="C17" s="2" t="s">
        <v>33</v>
      </c>
      <c r="D17" s="3">
        <v>75000</v>
      </c>
      <c r="G17" s="3">
        <v>75000</v>
      </c>
    </row>
    <row r="23" spans="1:7" ht="15.6" customHeight="1" x14ac:dyDescent="0.3">
      <c r="A23" s="10" t="s">
        <v>34</v>
      </c>
    </row>
    <row r="24" spans="1:7" x14ac:dyDescent="0.3">
      <c r="A24" s="11" t="s">
        <v>35</v>
      </c>
      <c r="B24" s="12">
        <f>ROUND(D4*D5*(1-D6),0)</f>
        <v>81000</v>
      </c>
    </row>
    <row r="25" spans="1:7" x14ac:dyDescent="0.3">
      <c r="A25" s="11" t="s">
        <v>36</v>
      </c>
      <c r="B25" s="12">
        <f>ROUND(G4*G5*(1-G6),0)</f>
        <v>97020</v>
      </c>
    </row>
    <row r="26" spans="1:7" x14ac:dyDescent="0.3">
      <c r="A26" s="11" t="s">
        <v>37</v>
      </c>
      <c r="B26" s="12">
        <f>(B25-B24)</f>
        <v>16020</v>
      </c>
    </row>
    <row r="27" spans="1:7" x14ac:dyDescent="0.3">
      <c r="A27" s="11" t="s">
        <v>38</v>
      </c>
      <c r="B27" s="13">
        <f>IF(OR(B30="",B30=0,B29=""),0,B30*B29)</f>
        <v>9.461966604823747</v>
      </c>
    </row>
    <row r="28" spans="1:7" x14ac:dyDescent="0.3">
      <c r="A28" s="11" t="s">
        <v>39</v>
      </c>
      <c r="B28" s="12">
        <f>B26*B27</f>
        <v>151580.70500927643</v>
      </c>
    </row>
    <row r="29" spans="1:7" x14ac:dyDescent="0.3">
      <c r="A29" s="14" t="s">
        <v>40</v>
      </c>
      <c r="B29" s="15">
        <v>0.75</v>
      </c>
    </row>
    <row r="30" spans="1:7" x14ac:dyDescent="0.3">
      <c r="A30" s="11" t="s">
        <v>41</v>
      </c>
      <c r="B30" s="13">
        <f>IF(B25&lt;=0,0,I4/B25)</f>
        <v>12.61595547309833</v>
      </c>
    </row>
    <row r="31" spans="1:7" x14ac:dyDescent="0.3">
      <c r="A31" s="11"/>
      <c r="B31" s="11"/>
    </row>
    <row r="32" spans="1:7" x14ac:dyDescent="0.3">
      <c r="A32" s="11"/>
      <c r="B32" s="13"/>
    </row>
    <row r="33" spans="1:2" x14ac:dyDescent="0.3">
      <c r="A33" s="11"/>
      <c r="B33" s="16"/>
    </row>
    <row r="34" spans="1:2" x14ac:dyDescent="0.3">
      <c r="A34" s="14" t="s">
        <v>42</v>
      </c>
      <c r="B34" s="13">
        <f>IF(OR(B30="",B30=0,B29=""),"",B30*(1+B29))</f>
        <v>22.077922077922079</v>
      </c>
    </row>
  </sheetData>
  <mergeCells count="1">
    <mergeCell ref="A1:I1"/>
  </mergeCells>
  <dataValidations count="1">
    <dataValidation type="list" allowBlank="1" showInputMessage="1" showErrorMessage="1" sqref="B31">
      <formula1>"Price-Margin,Avoided Step Cost,% of Material Cost"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activeCell="C6" sqref="C6"/>
    </sheetView>
  </sheetViews>
  <sheetFormatPr defaultRowHeight="14.4" x14ac:dyDescent="0.3"/>
  <cols>
    <col min="1" max="1" width="8" customWidth="1"/>
    <col min="2" max="4" width="16" customWidth="1"/>
    <col min="5" max="5" width="22" customWidth="1"/>
    <col min="6" max="6" width="2" customWidth="1"/>
    <col min="7" max="7" width="16" customWidth="1"/>
    <col min="8" max="8" width="14" customWidth="1"/>
  </cols>
  <sheetData>
    <row r="1" spans="1:6" ht="18" customHeight="1" x14ac:dyDescent="0.35">
      <c r="A1" s="17" t="s">
        <v>43</v>
      </c>
      <c r="B1" s="18"/>
      <c r="C1" s="18"/>
      <c r="D1" s="18"/>
      <c r="E1" s="18"/>
      <c r="F1" s="18"/>
    </row>
    <row r="3" spans="1:6" x14ac:dyDescent="0.3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</row>
    <row r="4" spans="1:6" x14ac:dyDescent="0.3">
      <c r="A4" s="5">
        <v>0</v>
      </c>
      <c r="B4" s="2">
        <f>-(Inputs_Results!$B$6+Inputs_Results!$B$7)</f>
        <v>-500000</v>
      </c>
      <c r="C4" s="2">
        <f>IF(B4="","",1/(1+Inputs_Results!$B$4)^0)</f>
        <v>1</v>
      </c>
      <c r="D4" s="2">
        <f t="shared" ref="D4:D34" si="0">IF(B4="","",B4*C4)</f>
        <v>-500000</v>
      </c>
      <c r="E4" s="2">
        <f>IF(B4="","",B4)</f>
        <v>-500000</v>
      </c>
    </row>
    <row r="5" spans="1:6" x14ac:dyDescent="0.3">
      <c r="A5" s="5">
        <v>1</v>
      </c>
      <c r="B5" s="2">
        <f>IF(Inputs_Results!$B$5&gt;=1, Inputs_Results!$B$16 + (Inputs_Results!$B$26*Inputs_Results!$B$27) + IF(Inputs_Results!$B$5=1,Inputs_Results!$B$9,0), "")</f>
        <v>322580.70500927663</v>
      </c>
      <c r="C5" s="2">
        <f>IF(B5="","",1/(1+Inputs_Results!$B$4)^1)</f>
        <v>0.90909090909090906</v>
      </c>
      <c r="D5" s="2">
        <f t="shared" si="0"/>
        <v>293255.18637206964</v>
      </c>
      <c r="E5" s="2">
        <f t="shared" ref="E5:E34" si="1">IF(B5="","",E4+B5)</f>
        <v>-177419.29499072337</v>
      </c>
    </row>
    <row r="6" spans="1:6" x14ac:dyDescent="0.3">
      <c r="A6" s="5">
        <v>2</v>
      </c>
      <c r="B6" s="2">
        <f>IF(Inputs_Results!$B$5&gt;=2, Inputs_Results!$B$16 + (Inputs_Results!$B$26*Inputs_Results!$B$27) + IF(Inputs_Results!$B$5=2,Inputs_Results!$B$9,0), "")</f>
        <v>322580.70500927663</v>
      </c>
      <c r="C6" s="2">
        <f>IF(B6="","",1/(1+Inputs_Results!$B$4)^2)</f>
        <v>0.82644628099173545</v>
      </c>
      <c r="D6" s="2">
        <f t="shared" si="0"/>
        <v>266595.62397460878</v>
      </c>
      <c r="E6" s="2">
        <f t="shared" si="1"/>
        <v>145161.41001855326</v>
      </c>
    </row>
    <row r="7" spans="1:6" x14ac:dyDescent="0.3">
      <c r="A7" s="5">
        <v>3</v>
      </c>
      <c r="B7" s="2">
        <f>IF(Inputs_Results!$B$5&gt;=3, Inputs_Results!$B$16 + (Inputs_Results!$B$26*Inputs_Results!$B$27) + IF(Inputs_Results!$B$5=3,Inputs_Results!$B$9,0), "")</f>
        <v>322580.70500927663</v>
      </c>
      <c r="C7" s="2">
        <f>IF(B7="","",1/(1+Inputs_Results!$B$4)^3)</f>
        <v>0.75131480090157754</v>
      </c>
      <c r="D7" s="2">
        <f t="shared" si="0"/>
        <v>242359.6581587352</v>
      </c>
      <c r="E7" s="2">
        <f t="shared" si="1"/>
        <v>467742.11502782989</v>
      </c>
    </row>
    <row r="8" spans="1:6" x14ac:dyDescent="0.3">
      <c r="A8" s="5">
        <v>4</v>
      </c>
      <c r="B8" s="2" t="str">
        <f>IF(Inputs_Results!$B$5&gt;=4, Inputs_Results!$B$16 + (Inputs_Results!$B$26*Inputs_Results!$B$27) + IF(Inputs_Results!$B$5=4,Inputs_Results!$B$9,0), "")</f>
        <v/>
      </c>
      <c r="C8" s="2" t="str">
        <f>IF(B8="","",1/(1+Inputs_Results!$B$4)^4)</f>
        <v/>
      </c>
      <c r="D8" s="2" t="str">
        <f t="shared" si="0"/>
        <v/>
      </c>
      <c r="E8" s="2" t="str">
        <f t="shared" si="1"/>
        <v/>
      </c>
    </row>
    <row r="9" spans="1:6" x14ac:dyDescent="0.3">
      <c r="A9" s="5">
        <v>5</v>
      </c>
      <c r="B9" s="2" t="str">
        <f>IF(Inputs_Results!$B$5&gt;=5, Inputs_Results!$B$16 + (Inputs_Results!$B$26*Inputs_Results!$B$27) + IF(Inputs_Results!$B$5=5,Inputs_Results!$B$9,0), "")</f>
        <v/>
      </c>
      <c r="C9" s="2" t="str">
        <f>IF(B9="","",1/(1+Inputs_Results!$B$4)^5)</f>
        <v/>
      </c>
      <c r="D9" s="2" t="str">
        <f t="shared" si="0"/>
        <v/>
      </c>
      <c r="E9" s="2" t="str">
        <f t="shared" si="1"/>
        <v/>
      </c>
    </row>
    <row r="10" spans="1:6" x14ac:dyDescent="0.3">
      <c r="A10" s="5">
        <v>6</v>
      </c>
      <c r="B10" s="2" t="str">
        <f>IF(Inputs_Results!$B$5&gt;=6, Inputs_Results!$B$16 + (Inputs_Results!$B$26*Inputs_Results!$B$27) + IF(Inputs_Results!$B$5=6,Inputs_Results!$B$9,0), "")</f>
        <v/>
      </c>
      <c r="C10" s="2" t="str">
        <f>IF(B10="","",1/(1+Inputs_Results!$B$4)^6)</f>
        <v/>
      </c>
      <c r="D10" s="2" t="str">
        <f t="shared" si="0"/>
        <v/>
      </c>
      <c r="E10" s="2" t="str">
        <f t="shared" si="1"/>
        <v/>
      </c>
    </row>
    <row r="11" spans="1:6" x14ac:dyDescent="0.3">
      <c r="A11" s="5">
        <v>7</v>
      </c>
      <c r="B11" s="2" t="str">
        <f>IF(Inputs_Results!$B$5&gt;=7, Inputs_Results!$B$16 + (Inputs_Results!$B$26*Inputs_Results!$B$27) + IF(Inputs_Results!$B$5=7,Inputs_Results!$B$9,0), "")</f>
        <v/>
      </c>
      <c r="C11" s="2" t="str">
        <f>IF(B11="","",1/(1+Inputs_Results!$B$4)^7)</f>
        <v/>
      </c>
      <c r="D11" s="2" t="str">
        <f t="shared" si="0"/>
        <v/>
      </c>
      <c r="E11" s="2" t="str">
        <f t="shared" si="1"/>
        <v/>
      </c>
    </row>
    <row r="12" spans="1:6" x14ac:dyDescent="0.3">
      <c r="A12" s="5">
        <v>8</v>
      </c>
      <c r="B12" s="2" t="str">
        <f>IF(Inputs_Results!$B$5&gt;=8, Inputs_Results!$B$16 + (Inputs_Results!$B$26*Inputs_Results!$B$27) + IF(Inputs_Results!$B$5=8,Inputs_Results!$B$9,0), "")</f>
        <v/>
      </c>
      <c r="C12" s="2" t="str">
        <f>IF(B12="","",1/(1+Inputs_Results!$B$4)^8)</f>
        <v/>
      </c>
      <c r="D12" s="2" t="str">
        <f t="shared" si="0"/>
        <v/>
      </c>
      <c r="E12" s="2" t="str">
        <f t="shared" si="1"/>
        <v/>
      </c>
    </row>
    <row r="13" spans="1:6" x14ac:dyDescent="0.3">
      <c r="A13" s="5">
        <v>9</v>
      </c>
      <c r="B13" s="2" t="str">
        <f>IF(Inputs_Results!$B$5&gt;=9, Inputs_Results!$B$16 + (Inputs_Results!$B$26*Inputs_Results!$B$27) + IF(Inputs_Results!$B$5=9,Inputs_Results!$B$9,0), "")</f>
        <v/>
      </c>
      <c r="C13" s="2" t="str">
        <f>IF(B13="","",1/(1+Inputs_Results!$B$4)^9)</f>
        <v/>
      </c>
      <c r="D13" s="2" t="str">
        <f t="shared" si="0"/>
        <v/>
      </c>
      <c r="E13" s="2" t="str">
        <f t="shared" si="1"/>
        <v/>
      </c>
    </row>
    <row r="14" spans="1:6" x14ac:dyDescent="0.3">
      <c r="A14" s="5">
        <v>10</v>
      </c>
      <c r="B14" s="2" t="str">
        <f>IF(Inputs_Results!$B$5&gt;=10, Inputs_Results!$B$16 + (Inputs_Results!$B$26*Inputs_Results!$B$27) + IF(Inputs_Results!$B$5=10,Inputs_Results!$B$9,0), "")</f>
        <v/>
      </c>
      <c r="C14" s="2" t="str">
        <f>IF(B14="","",1/(1+Inputs_Results!$B$4)^10)</f>
        <v/>
      </c>
      <c r="D14" s="2" t="str">
        <f t="shared" si="0"/>
        <v/>
      </c>
      <c r="E14" s="2" t="str">
        <f t="shared" si="1"/>
        <v/>
      </c>
    </row>
    <row r="15" spans="1:6" x14ac:dyDescent="0.3">
      <c r="A15" s="5">
        <v>11</v>
      </c>
      <c r="B15" s="2" t="str">
        <f>IF(Inputs_Results!$B$5&gt;=11, Inputs_Results!$B$16 + (Inputs_Results!$B$26*Inputs_Results!$B$27) + IF(Inputs_Results!$B$5=11,Inputs_Results!$B$9,0), "")</f>
        <v/>
      </c>
      <c r="C15" s="2" t="str">
        <f>IF(B15="","",1/(1+Inputs_Results!$B$4)^11)</f>
        <v/>
      </c>
      <c r="D15" s="2" t="str">
        <f t="shared" si="0"/>
        <v/>
      </c>
      <c r="E15" s="2" t="str">
        <f t="shared" si="1"/>
        <v/>
      </c>
    </row>
    <row r="16" spans="1:6" x14ac:dyDescent="0.3">
      <c r="A16" s="5">
        <v>12</v>
      </c>
      <c r="B16" s="2" t="str">
        <f>IF(Inputs_Results!$B$5&gt;=12, Inputs_Results!$B$16 + (Inputs_Results!$B$26*Inputs_Results!$B$27) + IF(Inputs_Results!$B$5=12,Inputs_Results!$B$9,0), "")</f>
        <v/>
      </c>
      <c r="C16" s="2" t="str">
        <f>IF(B16="","",1/(1+Inputs_Results!$B$4)^12)</f>
        <v/>
      </c>
      <c r="D16" s="2" t="str">
        <f t="shared" si="0"/>
        <v/>
      </c>
      <c r="E16" s="2" t="str">
        <f t="shared" si="1"/>
        <v/>
      </c>
    </row>
    <row r="17" spans="1:5" x14ac:dyDescent="0.3">
      <c r="A17" s="5">
        <v>13</v>
      </c>
      <c r="B17" s="2" t="str">
        <f>IF(Inputs_Results!$B$5&gt;=13, Inputs_Results!$B$16 + (Inputs_Results!$B$26*Inputs_Results!$B$27) + IF(Inputs_Results!$B$5=13,Inputs_Results!$B$9,0), "")</f>
        <v/>
      </c>
      <c r="C17" s="2" t="str">
        <f>IF(B17="","",1/(1+Inputs_Results!$B$4)^13)</f>
        <v/>
      </c>
      <c r="D17" s="2" t="str">
        <f t="shared" si="0"/>
        <v/>
      </c>
      <c r="E17" s="2" t="str">
        <f t="shared" si="1"/>
        <v/>
      </c>
    </row>
    <row r="18" spans="1:5" x14ac:dyDescent="0.3">
      <c r="A18" s="5">
        <v>14</v>
      </c>
      <c r="B18" s="2" t="str">
        <f>IF(Inputs_Results!$B$5&gt;=14, Inputs_Results!$B$16 + (Inputs_Results!$B$26*Inputs_Results!$B$27) + IF(Inputs_Results!$B$5=14,Inputs_Results!$B$9,0), "")</f>
        <v/>
      </c>
      <c r="C18" s="2" t="str">
        <f>IF(B18="","",1/(1+Inputs_Results!$B$4)^14)</f>
        <v/>
      </c>
      <c r="D18" s="2" t="str">
        <f t="shared" si="0"/>
        <v/>
      </c>
      <c r="E18" s="2" t="str">
        <f t="shared" si="1"/>
        <v/>
      </c>
    </row>
    <row r="19" spans="1:5" x14ac:dyDescent="0.3">
      <c r="A19" s="5">
        <v>15</v>
      </c>
      <c r="B19" s="2" t="str">
        <f>IF(Inputs_Results!$B$5&gt;=15, Inputs_Results!$B$16 + (Inputs_Results!$B$26*Inputs_Results!$B$27) + IF(Inputs_Results!$B$5=15,Inputs_Results!$B$9,0), "")</f>
        <v/>
      </c>
      <c r="C19" s="2" t="str">
        <f>IF(B19="","",1/(1+Inputs_Results!$B$4)^15)</f>
        <v/>
      </c>
      <c r="D19" s="2" t="str">
        <f t="shared" si="0"/>
        <v/>
      </c>
      <c r="E19" s="2" t="str">
        <f t="shared" si="1"/>
        <v/>
      </c>
    </row>
    <row r="20" spans="1:5" x14ac:dyDescent="0.3">
      <c r="A20" s="5">
        <v>16</v>
      </c>
      <c r="B20" s="2" t="str">
        <f>IF(Inputs_Results!$B$5&gt;=16, Inputs_Results!$B$16 + (Inputs_Results!$B$26*Inputs_Results!$B$27) + IF(Inputs_Results!$B$5=16,Inputs_Results!$B$9,0), "")</f>
        <v/>
      </c>
      <c r="C20" s="2" t="str">
        <f>IF(B20="","",1/(1+Inputs_Results!$B$4)^16)</f>
        <v/>
      </c>
      <c r="D20" s="2" t="str">
        <f t="shared" si="0"/>
        <v/>
      </c>
      <c r="E20" s="2" t="str">
        <f t="shared" si="1"/>
        <v/>
      </c>
    </row>
    <row r="21" spans="1:5" x14ac:dyDescent="0.3">
      <c r="A21" s="5">
        <v>17</v>
      </c>
      <c r="B21" s="2" t="str">
        <f>IF(Inputs_Results!$B$5&gt;=17, Inputs_Results!$B$16 + (Inputs_Results!$B$26*Inputs_Results!$B$27) + IF(Inputs_Results!$B$5=17,Inputs_Results!$B$9,0), "")</f>
        <v/>
      </c>
      <c r="C21" s="2" t="str">
        <f>IF(B21="","",1/(1+Inputs_Results!$B$4)^17)</f>
        <v/>
      </c>
      <c r="D21" s="2" t="str">
        <f t="shared" si="0"/>
        <v/>
      </c>
      <c r="E21" s="2" t="str">
        <f t="shared" si="1"/>
        <v/>
      </c>
    </row>
    <row r="22" spans="1:5" x14ac:dyDescent="0.3">
      <c r="A22" s="5">
        <v>18</v>
      </c>
      <c r="B22" s="2" t="str">
        <f>IF(Inputs_Results!$B$5&gt;=18, Inputs_Results!$B$16 + (Inputs_Results!$B$26*Inputs_Results!$B$27) + IF(Inputs_Results!$B$5=18,Inputs_Results!$B$9,0), "")</f>
        <v/>
      </c>
      <c r="C22" s="2" t="str">
        <f>IF(B22="","",1/(1+Inputs_Results!$B$4)^18)</f>
        <v/>
      </c>
      <c r="D22" s="2" t="str">
        <f t="shared" si="0"/>
        <v/>
      </c>
      <c r="E22" s="2" t="str">
        <f t="shared" si="1"/>
        <v/>
      </c>
    </row>
    <row r="23" spans="1:5" x14ac:dyDescent="0.3">
      <c r="A23" s="5">
        <v>19</v>
      </c>
      <c r="B23" s="2" t="str">
        <f>IF(Inputs_Results!$B$5&gt;=19, Inputs_Results!$B$16 + (Inputs_Results!$B$26*Inputs_Results!$B$27) + IF(Inputs_Results!$B$5=19,Inputs_Results!$B$9,0), "")</f>
        <v/>
      </c>
      <c r="C23" s="2" t="str">
        <f>IF(B23="","",1/(1+Inputs_Results!$B$4)^19)</f>
        <v/>
      </c>
      <c r="D23" s="2" t="str">
        <f t="shared" si="0"/>
        <v/>
      </c>
      <c r="E23" s="2" t="str">
        <f t="shared" si="1"/>
        <v/>
      </c>
    </row>
    <row r="24" spans="1:5" x14ac:dyDescent="0.3">
      <c r="A24" s="5">
        <v>20</v>
      </c>
      <c r="B24" s="2" t="str">
        <f>IF(Inputs_Results!$B$5&gt;=20, Inputs_Results!$B$16 + (Inputs_Results!$B$26*Inputs_Results!$B$27) + IF(Inputs_Results!$B$5=20,Inputs_Results!$B$9,0), "")</f>
        <v/>
      </c>
      <c r="C24" s="2" t="str">
        <f>IF(B24="","",1/(1+Inputs_Results!$B$4)^20)</f>
        <v/>
      </c>
      <c r="D24" s="2" t="str">
        <f t="shared" si="0"/>
        <v/>
      </c>
      <c r="E24" s="2" t="str">
        <f t="shared" si="1"/>
        <v/>
      </c>
    </row>
    <row r="25" spans="1:5" x14ac:dyDescent="0.3">
      <c r="A25" s="5">
        <v>21</v>
      </c>
      <c r="B25" s="2" t="str">
        <f>IF(Inputs_Results!$B$5&gt;=21, Inputs_Results!$B$16 + (Inputs_Results!$B$26*Inputs_Results!$B$27) + IF(Inputs_Results!$B$5=21,Inputs_Results!$B$9,0), "")</f>
        <v/>
      </c>
      <c r="C25" s="2" t="str">
        <f>IF(B25="","",1/(1+Inputs_Results!$B$4)^21)</f>
        <v/>
      </c>
      <c r="D25" s="2" t="str">
        <f t="shared" si="0"/>
        <v/>
      </c>
      <c r="E25" s="2" t="str">
        <f t="shared" si="1"/>
        <v/>
      </c>
    </row>
    <row r="26" spans="1:5" x14ac:dyDescent="0.3">
      <c r="A26" s="5">
        <v>22</v>
      </c>
      <c r="B26" s="2" t="str">
        <f>IF(Inputs_Results!$B$5&gt;=22, Inputs_Results!$B$16 + (Inputs_Results!$B$26*Inputs_Results!$B$27) + IF(Inputs_Results!$B$5=22,Inputs_Results!$B$9,0), "")</f>
        <v/>
      </c>
      <c r="C26" s="2" t="str">
        <f>IF(B26="","",1/(1+Inputs_Results!$B$4)^22)</f>
        <v/>
      </c>
      <c r="D26" s="2" t="str">
        <f t="shared" si="0"/>
        <v/>
      </c>
      <c r="E26" s="2" t="str">
        <f t="shared" si="1"/>
        <v/>
      </c>
    </row>
    <row r="27" spans="1:5" x14ac:dyDescent="0.3">
      <c r="A27" s="5">
        <v>23</v>
      </c>
      <c r="B27" s="2" t="str">
        <f>IF(Inputs_Results!$B$5&gt;=23, Inputs_Results!$B$16 + (Inputs_Results!$B$26*Inputs_Results!$B$27) + IF(Inputs_Results!$B$5=23,Inputs_Results!$B$9,0), "")</f>
        <v/>
      </c>
      <c r="C27" s="2" t="str">
        <f>IF(B27="","",1/(1+Inputs_Results!$B$4)^23)</f>
        <v/>
      </c>
      <c r="D27" s="2" t="str">
        <f t="shared" si="0"/>
        <v/>
      </c>
      <c r="E27" s="2" t="str">
        <f t="shared" si="1"/>
        <v/>
      </c>
    </row>
    <row r="28" spans="1:5" x14ac:dyDescent="0.3">
      <c r="A28" s="5">
        <v>24</v>
      </c>
      <c r="B28" s="2" t="str">
        <f>IF(Inputs_Results!$B$5&gt;=24, Inputs_Results!$B$16 + (Inputs_Results!$B$26*Inputs_Results!$B$27) + IF(Inputs_Results!$B$5=24,Inputs_Results!$B$9,0), "")</f>
        <v/>
      </c>
      <c r="C28" s="2" t="str">
        <f>IF(B28="","",1/(1+Inputs_Results!$B$4)^24)</f>
        <v/>
      </c>
      <c r="D28" s="2" t="str">
        <f t="shared" si="0"/>
        <v/>
      </c>
      <c r="E28" s="2" t="str">
        <f t="shared" si="1"/>
        <v/>
      </c>
    </row>
    <row r="29" spans="1:5" x14ac:dyDescent="0.3">
      <c r="A29" s="5">
        <v>25</v>
      </c>
      <c r="B29" s="2" t="str">
        <f>IF(Inputs_Results!$B$5&gt;=25, Inputs_Results!$B$16 + (Inputs_Results!$B$26*Inputs_Results!$B$27) + IF(Inputs_Results!$B$5=25,Inputs_Results!$B$9,0), "")</f>
        <v/>
      </c>
      <c r="C29" s="2" t="str">
        <f>IF(B29="","",1/(1+Inputs_Results!$B$4)^25)</f>
        <v/>
      </c>
      <c r="D29" s="2" t="str">
        <f t="shared" si="0"/>
        <v/>
      </c>
      <c r="E29" s="2" t="str">
        <f t="shared" si="1"/>
        <v/>
      </c>
    </row>
    <row r="30" spans="1:5" x14ac:dyDescent="0.3">
      <c r="A30" s="5">
        <v>26</v>
      </c>
      <c r="B30" s="2" t="str">
        <f>IF(Inputs_Results!$B$5&gt;=26, Inputs_Results!$B$16 + (Inputs_Results!$B$26*Inputs_Results!$B$27) + IF(Inputs_Results!$B$5=26,Inputs_Results!$B$9,0), "")</f>
        <v/>
      </c>
      <c r="C30" s="2" t="str">
        <f>IF(B30="","",1/(1+Inputs_Results!$B$4)^26)</f>
        <v/>
      </c>
      <c r="D30" s="2" t="str">
        <f t="shared" si="0"/>
        <v/>
      </c>
      <c r="E30" s="2" t="str">
        <f t="shared" si="1"/>
        <v/>
      </c>
    </row>
    <row r="31" spans="1:5" x14ac:dyDescent="0.3">
      <c r="A31" s="5">
        <v>27</v>
      </c>
      <c r="B31" s="2" t="str">
        <f>IF(Inputs_Results!$B$5&gt;=27, Inputs_Results!$B$16 + (Inputs_Results!$B$26*Inputs_Results!$B$27) + IF(Inputs_Results!$B$5=27,Inputs_Results!$B$9,0), "")</f>
        <v/>
      </c>
      <c r="C31" s="2" t="str">
        <f>IF(B31="","",1/(1+Inputs_Results!$B$4)^27)</f>
        <v/>
      </c>
      <c r="D31" s="2" t="str">
        <f t="shared" si="0"/>
        <v/>
      </c>
      <c r="E31" s="2" t="str">
        <f t="shared" si="1"/>
        <v/>
      </c>
    </row>
    <row r="32" spans="1:5" x14ac:dyDescent="0.3">
      <c r="A32" s="5">
        <v>28</v>
      </c>
      <c r="B32" s="2" t="str">
        <f>IF(Inputs_Results!$B$5&gt;=28, Inputs_Results!$B$16 + (Inputs_Results!$B$26*Inputs_Results!$B$27) + IF(Inputs_Results!$B$5=28,Inputs_Results!$B$9,0), "")</f>
        <v/>
      </c>
      <c r="C32" s="2" t="str">
        <f>IF(B32="","",1/(1+Inputs_Results!$B$4)^28)</f>
        <v/>
      </c>
      <c r="D32" s="2" t="str">
        <f t="shared" si="0"/>
        <v/>
      </c>
      <c r="E32" s="2" t="str">
        <f t="shared" si="1"/>
        <v/>
      </c>
    </row>
    <row r="33" spans="1:8" x14ac:dyDescent="0.3">
      <c r="A33" s="5">
        <v>29</v>
      </c>
      <c r="B33" s="2" t="str">
        <f>IF(Inputs_Results!$B$5&gt;=29, Inputs_Results!$B$16 + (Inputs_Results!$B$26*Inputs_Results!$B$27) + IF(Inputs_Results!$B$5=29,Inputs_Results!$B$9,0), "")</f>
        <v/>
      </c>
      <c r="C33" s="2" t="str">
        <f>IF(B33="","",1/(1+Inputs_Results!$B$4)^29)</f>
        <v/>
      </c>
      <c r="D33" s="2" t="str">
        <f t="shared" si="0"/>
        <v/>
      </c>
      <c r="E33" s="2" t="str">
        <f t="shared" si="1"/>
        <v/>
      </c>
    </row>
    <row r="34" spans="1:8" x14ac:dyDescent="0.3">
      <c r="A34" s="5">
        <v>30</v>
      </c>
      <c r="B34" s="2" t="str">
        <f>IF(Inputs_Results!$B$5&gt;=30, Inputs_Results!$B$16 + (Inputs_Results!$B$26*Inputs_Results!$B$27) + IF(Inputs_Results!$B$5=30,Inputs_Results!$B$9,0), "")</f>
        <v/>
      </c>
      <c r="C34" s="2" t="str">
        <f>IF(B34="","",1/(1+Inputs_Results!$B$4)^30)</f>
        <v/>
      </c>
      <c r="D34" s="2" t="str">
        <f t="shared" si="0"/>
        <v/>
      </c>
      <c r="E34" s="2" t="str">
        <f t="shared" si="1"/>
        <v/>
      </c>
    </row>
    <row r="36" spans="1:8" x14ac:dyDescent="0.3">
      <c r="G36" s="1" t="s">
        <v>49</v>
      </c>
    </row>
    <row r="37" spans="1:8" x14ac:dyDescent="0.3">
      <c r="G37" t="s">
        <v>50</v>
      </c>
      <c r="H37" s="7">
        <f ca="1">NPV(Inputs_Results!$B$4, OFFSET(B4,1,0,Inputs_Results!$B$5,1)) + B4</f>
        <v>302210.46850541362</v>
      </c>
    </row>
    <row r="38" spans="1:8" x14ac:dyDescent="0.3">
      <c r="G38" t="s">
        <v>51</v>
      </c>
      <c r="H38" s="8">
        <f ca="1">IRR(OFFSET(B4,0,0,Inputs_Results!$B$5+1,1))</f>
        <v>0.41969363740494647</v>
      </c>
    </row>
    <row r="39" spans="1:8" x14ac:dyDescent="0.3">
      <c r="G39" t="s">
        <v>52</v>
      </c>
      <c r="H39" s="9" t="str">
        <f>H43</f>
        <v/>
      </c>
    </row>
    <row r="40" spans="1:8" x14ac:dyDescent="0.3">
      <c r="G40" t="s">
        <v>53</v>
      </c>
      <c r="H40" s="8">
        <f ca="1">IF(B4&lt;0,(SUM(OFFSET(B4,1,0,Inputs_Results!$B$5,1))+B4)/-B4,"")</f>
        <v>0.93548423005565973</v>
      </c>
    </row>
    <row r="42" spans="1:8" x14ac:dyDescent="0.3">
      <c r="G42" t="s">
        <v>54</v>
      </c>
      <c r="H42" t="e">
        <f>MATCH(TRUE, E4:E34&gt;=0, 0)</f>
        <v>#VALUE!</v>
      </c>
    </row>
    <row r="43" spans="1:8" x14ac:dyDescent="0.3">
      <c r="G43" t="s">
        <v>55</v>
      </c>
      <c r="H43" s="9" t="str">
        <f>IFERROR(IF(H42=1,0,(H42-2)+(-INDEX(E4:E34,H42-1)/INDEX(B4:B34,H42))),"")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Inputs_Results</vt:lpstr>
      <vt:lpstr>Cash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 Stars Laptop</cp:lastModifiedBy>
  <dcterms:created xsi:type="dcterms:W3CDTF">2025-09-08T13:38:47Z</dcterms:created>
  <dcterms:modified xsi:type="dcterms:W3CDTF">2025-09-11T08:30:18Z</dcterms:modified>
</cp:coreProperties>
</file>